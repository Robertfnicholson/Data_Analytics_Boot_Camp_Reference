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opertire-my.sharepoint.com/personal/rfnicholson_coopertire_com/Documents/Personal/Data Analytics Boot Camp/"/>
    </mc:Choice>
  </mc:AlternateContent>
  <xr:revisionPtr revIDLastSave="297" documentId="13_ncr:1_{DCEF1CBC-7160-9944-B108-27D7FEED9135}" xr6:coauthVersionLast="45" xr6:coauthVersionMax="47" xr10:uidLastSave="{F9529F65-AA2F-4A7D-A1AF-612266C1E474}"/>
  <bookViews>
    <workbookView xWindow="-28920" yWindow="-120" windowWidth="29040" windowHeight="15840" xr2:uid="{FFED0A48-5A5F-BF4D-A0BA-111FAB796D62}"/>
  </bookViews>
  <sheets>
    <sheet name="Schedule" sheetId="6" r:id="rId1"/>
    <sheet name="Software" sheetId="2" r:id="rId2"/>
    <sheet name="Software Detail" sheetId="3" r:id="rId3"/>
    <sheet name="VBA Scripting" sheetId="5" r:id="rId4"/>
    <sheet name="Courses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6" l="1"/>
  <c r="B18" i="6"/>
  <c r="B17" i="6" l="1"/>
  <c r="B12" i="6" l="1"/>
  <c r="B14" i="6" s="1"/>
  <c r="B4" i="6" l="1"/>
  <c r="B1" i="6"/>
  <c r="B20" i="6" s="1"/>
  <c r="E6" i="6" l="1"/>
  <c r="E18" i="6"/>
  <c r="E30" i="6"/>
  <c r="E42" i="6"/>
  <c r="E19" i="6"/>
  <c r="E31" i="6"/>
  <c r="E43" i="6"/>
  <c r="E20" i="6"/>
  <c r="E32" i="6"/>
  <c r="E44" i="6"/>
  <c r="E9" i="6"/>
  <c r="E21" i="6"/>
  <c r="E33" i="6"/>
  <c r="E45" i="6"/>
  <c r="E10" i="6"/>
  <c r="E22" i="6"/>
  <c r="E34" i="6"/>
  <c r="E46" i="6"/>
  <c r="E11" i="6"/>
  <c r="E23" i="6"/>
  <c r="E35" i="6"/>
  <c r="E12" i="6"/>
  <c r="E36" i="6"/>
  <c r="E13" i="6"/>
  <c r="E37" i="6"/>
  <c r="E38" i="6"/>
  <c r="E50" i="6"/>
  <c r="E15" i="6"/>
  <c r="E39" i="6"/>
  <c r="E4" i="6"/>
  <c r="E28" i="6"/>
  <c r="E17" i="6"/>
  <c r="E41" i="6"/>
  <c r="E7" i="6"/>
  <c r="E8" i="6"/>
  <c r="E47" i="6"/>
  <c r="E24" i="6"/>
  <c r="E48" i="6"/>
  <c r="E25" i="6"/>
  <c r="E49" i="6"/>
  <c r="E26" i="6"/>
  <c r="E3" i="6"/>
  <c r="E27" i="6"/>
  <c r="E16" i="6"/>
  <c r="E40" i="6"/>
  <c r="E5" i="6"/>
  <c r="E29" i="6"/>
  <c r="E14" i="6"/>
  <c r="B5" i="6"/>
  <c r="B7" i="6" s="1"/>
  <c r="E2" i="6"/>
  <c r="B6" i="6" l="1"/>
  <c r="B9" i="6"/>
  <c r="B11" i="6" l="1"/>
  <c r="B15" i="6"/>
  <c r="B19" i="6" s="1"/>
  <c r="B21" i="6" s="1"/>
  <c r="B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19" authorId="0" shapeId="0" xr:uid="{085B3E17-86DB-6447-8FEC-A95AA64C151B}">
      <text>
        <r>
          <rPr>
            <b/>
            <sz val="10"/>
            <color rgb="FF000000"/>
            <rFont val="Tahoma"/>
            <family val="2"/>
          </rPr>
          <t>Class moved to Tues due to MLK Holiday</t>
        </r>
      </text>
    </comment>
    <comment ref="D29" authorId="0" shapeId="0" xr:uid="{1596CE52-C0BA-5744-868B-61C0EBD9C846}">
      <text>
        <r>
          <rPr>
            <b/>
            <sz val="10"/>
            <color rgb="FF000000"/>
            <rFont val="Tahoma"/>
            <family val="2"/>
          </rPr>
          <t>MOVED to Tues due to Presidents Day</t>
        </r>
      </text>
    </comment>
  </commentList>
</comments>
</file>

<file path=xl/sharedStrings.xml><?xml version="1.0" encoding="utf-8"?>
<sst xmlns="http://schemas.openxmlformats.org/spreadsheetml/2006/main" count="234" uniqueCount="162">
  <si>
    <t>Data Analytics Course</t>
  </si>
  <si>
    <t xml:space="preserve">Ohio State University </t>
  </si>
  <si>
    <t>School</t>
  </si>
  <si>
    <t>University</t>
  </si>
  <si>
    <t xml:space="preserve">Engineering </t>
  </si>
  <si>
    <t>Course</t>
  </si>
  <si>
    <t>Length Wks</t>
  </si>
  <si>
    <t>Cost</t>
  </si>
  <si>
    <t>Data Analytics Boot Camp</t>
  </si>
  <si>
    <t>MIT</t>
  </si>
  <si>
    <t>Sloan</t>
  </si>
  <si>
    <t>Business Analysis</t>
  </si>
  <si>
    <t>Comments</t>
  </si>
  <si>
    <t>Good fit</t>
  </si>
  <si>
    <t>Not a good fit; very high level; theoretical</t>
  </si>
  <si>
    <t>Penn</t>
  </si>
  <si>
    <t>Wharton</t>
  </si>
  <si>
    <t>Business Analytics</t>
  </si>
  <si>
    <t>Case Western Reserve</t>
  </si>
  <si>
    <t>Next Class</t>
  </si>
  <si>
    <t>??</t>
  </si>
  <si>
    <t>Good fit; same as OSUs</t>
  </si>
  <si>
    <t>Cornell</t>
  </si>
  <si>
    <t>Data Analytics Program</t>
  </si>
  <si>
    <t>25-30</t>
  </si>
  <si>
    <t>3-5</t>
  </si>
  <si>
    <t>Hrs/wk</t>
  </si>
  <si>
    <t>Likely not a fit; high level</t>
  </si>
  <si>
    <t>Software</t>
  </si>
  <si>
    <t>VBA Scripting</t>
  </si>
  <si>
    <t>Python</t>
  </si>
  <si>
    <t>Python 3</t>
  </si>
  <si>
    <t>NumPy</t>
  </si>
  <si>
    <t>Pandas</t>
  </si>
  <si>
    <t>Matplotlib</t>
  </si>
  <si>
    <t>API Interactions</t>
  </si>
  <si>
    <t>Web Scraping</t>
  </si>
  <si>
    <t>Databases</t>
  </si>
  <si>
    <t>Postgres/pgAdmin</t>
  </si>
  <si>
    <t>MongoDB</t>
  </si>
  <si>
    <t>Extract-Transform-Load (ETL)</t>
  </si>
  <si>
    <t>Front-End Web Visualization</t>
  </si>
  <si>
    <t>HTML</t>
  </si>
  <si>
    <t>CSS</t>
  </si>
  <si>
    <t>Bootstrap</t>
  </si>
  <si>
    <t>Name</t>
  </si>
  <si>
    <t>Specific</t>
  </si>
  <si>
    <t>Type</t>
  </si>
  <si>
    <t>Spreadshseets</t>
  </si>
  <si>
    <t>Pivot Tables</t>
  </si>
  <si>
    <t>Dashboarding</t>
  </si>
  <si>
    <t>Javascript</t>
  </si>
  <si>
    <t>Geomapping with Javascript libraries</t>
  </si>
  <si>
    <t>Experience</t>
  </si>
  <si>
    <t>Yes</t>
  </si>
  <si>
    <t>Data Visualization</t>
  </si>
  <si>
    <t>Tableau</t>
  </si>
  <si>
    <t>R</t>
  </si>
  <si>
    <t>Big data analytics with Hadoop</t>
  </si>
  <si>
    <t>Amazon Web Services</t>
  </si>
  <si>
    <t>Machine Learning</t>
  </si>
  <si>
    <t>Modeling</t>
  </si>
  <si>
    <t>Forecasting</t>
  </si>
  <si>
    <r>
      <t>Python is commonly used for </t>
    </r>
    <r>
      <rPr>
        <b/>
        <sz val="16"/>
        <color rgb="FF202124"/>
        <rFont val="Arial"/>
        <family val="2"/>
      </rPr>
      <t>developing websites and software, task automation, data analysis, and data visualization</t>
    </r>
    <r>
      <rPr>
        <sz val="16"/>
        <color rgb="FF202124"/>
        <rFont val="Arial"/>
        <family val="2"/>
      </rPr>
      <t>. Since it's relatively easy to learn, Python has been adopted by many non-programmers such as accountants and scientists, for a variety of everyday tasks, like organizing finances</t>
    </r>
  </si>
  <si>
    <t>Latest version of Python</t>
  </si>
  <si>
    <t>NumPy is the fundamental package for scientific computing in Python. It is a Python library that provides a multidimensional array object, various derived objects (such as masked arrays and matrices), and an assortment of routines for fast operations on arrays, including mathematical, logical, shape manipulation, sorting, selecting, I/O, discrete Fourier transforms, basic linear algebra, basic statistical operations, random simulation and much more.</t>
  </si>
  <si>
    <t>Pandas is a fast, powerful, flexible and easy to use open source data analysis and manipulation tool,
built on top of the Python programming language.</t>
  </si>
  <si>
    <t>Matplotlib is a comprehensive library for creating static, animated, and interactive visualizations in Python.</t>
  </si>
  <si>
    <t>To interact with an Application Program Interface (API), specifically a web API in python we can make use of the standard requests module to make the request, because most web service APIs return a response in a format known as JSON it will be useful to know little about it. JSON is a way to store data in an organized, logical manner.</t>
  </si>
  <si>
    <t>Web scraping is the process of collecting and parsing raw data from the Web, and the Python community has come up with some pretty powerful web scraping tools.</t>
  </si>
  <si>
    <t>Description</t>
  </si>
  <si>
    <t>Tutorial</t>
  </si>
  <si>
    <t>Excel VBA Beginner Tutorial</t>
  </si>
  <si>
    <t>VBA Rules</t>
  </si>
  <si>
    <t>Need to state an object first. (Object oriented programming</t>
  </si>
  <si>
    <t>Need developer tab</t>
  </si>
  <si>
    <t>Write down the steps to the process</t>
  </si>
  <si>
    <t>Record the process</t>
  </si>
  <si>
    <t>Test</t>
  </si>
  <si>
    <t>Use</t>
  </si>
  <si>
    <t>Example</t>
  </si>
  <si>
    <t>Record a macro that</t>
  </si>
  <si>
    <t>Finds all cells with number constants</t>
  </si>
  <si>
    <t>Formats them with a fill color and blue font</t>
  </si>
  <si>
    <t>Today</t>
  </si>
  <si>
    <t>Last Day of Class</t>
  </si>
  <si>
    <t>Days Left</t>
  </si>
  <si>
    <t>Weeks Left</t>
  </si>
  <si>
    <t>Classes Total</t>
  </si>
  <si>
    <t>Classes Remaining</t>
  </si>
  <si>
    <t>Classes Completed</t>
  </si>
  <si>
    <t>Start date</t>
  </si>
  <si>
    <t>Total Days</t>
  </si>
  <si>
    <t>% Complete</t>
  </si>
  <si>
    <t>Class Date</t>
  </si>
  <si>
    <t>Est. Prep Time Hrs</t>
  </si>
  <si>
    <t>10-15</t>
  </si>
  <si>
    <t>Actual</t>
  </si>
  <si>
    <t>Wkly Challenge</t>
  </si>
  <si>
    <t>Week 1</t>
  </si>
  <si>
    <t>Est. Time</t>
  </si>
  <si>
    <t>Module Descr.</t>
  </si>
  <si>
    <t>Pre-Work</t>
  </si>
  <si>
    <t>Kickstarting with Excel</t>
  </si>
  <si>
    <t>PyPoll with Python</t>
  </si>
  <si>
    <t>Completed</t>
  </si>
  <si>
    <t>Week 2</t>
  </si>
  <si>
    <t>VBA of Wall Street 1-3</t>
  </si>
  <si>
    <t>VBA of Wall Street 4-5</t>
  </si>
  <si>
    <t>Due Date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</si>
  <si>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</si>
  <si>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</si>
  <si>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</si>
  <si>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</si>
  <si>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</si>
  <si>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</si>
  <si>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</si>
  <si>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</si>
  <si>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</si>
  <si>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</si>
  <si>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Module</t>
  </si>
  <si>
    <t>Unit Assessment</t>
  </si>
  <si>
    <t>Excel &amp; VBA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</si>
  <si>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</si>
  <si>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</si>
  <si>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</si>
  <si>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</si>
  <si>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</si>
  <si>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</si>
  <si>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</si>
  <si>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</si>
  <si>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</si>
  <si>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</si>
  <si>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</si>
  <si>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</si>
  <si>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Visualizations</t>
  </si>
  <si>
    <t>20-3</t>
  </si>
  <si>
    <t>20-2</t>
  </si>
  <si>
    <t>20-1</t>
  </si>
  <si>
    <t>20-4</t>
  </si>
  <si>
    <t>Total</t>
  </si>
  <si>
    <t>Analytical Modeling &amp; Big Data</t>
  </si>
  <si>
    <t>Date Submitted</t>
  </si>
  <si>
    <t>Target Date</t>
  </si>
  <si>
    <t>Volleyball Dates</t>
  </si>
  <si>
    <t>Challenges Completed</t>
  </si>
  <si>
    <t>% Challenges Completed</t>
  </si>
  <si>
    <t>Total Class Prep Hrs</t>
  </si>
  <si>
    <t>Total Challenge Hrs</t>
  </si>
  <si>
    <t>Overall Class Hrs</t>
  </si>
  <si>
    <t>Start with 3.2.3</t>
  </si>
  <si>
    <t>PyCitySchools with Pandas</t>
  </si>
  <si>
    <t>Total Unit Assessment</t>
  </si>
  <si>
    <t>Avg. / Wk</t>
  </si>
  <si>
    <t>Wks Completed</t>
  </si>
  <si>
    <t>PyBer with Matplotlib 1,2,3</t>
  </si>
  <si>
    <t>PyBer with Matplotlib 4 - 7</t>
  </si>
  <si>
    <t>Using APIs to Visualize Weather Data</t>
  </si>
  <si>
    <t>Challenges Required</t>
  </si>
  <si>
    <t>Total InClass Hrs</t>
  </si>
  <si>
    <t>Databases with SQL: PostgreSQL &amp; pgAdmin</t>
  </si>
  <si>
    <t>Databases with SQL: Data Engineering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</si>
</sst>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* #,##0.0_);_(* \(#,##0.0\);_(* &quot;-&quot;??_);_(@_)"/>
    <numFmt numFmtId="166" formatCode="_(* #,##0_);_(* \(#,##0\);_(* &quot;-&quot;??_);_(@_)"/>
    <numFmt numFmtId="167" formatCode="0.0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202124"/>
      <name val="Arial"/>
      <family val="2"/>
    </font>
    <font>
      <b/>
      <sz val="16"/>
      <color rgb="FF20212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164" fontId="0" fillId="0" borderId="0" xfId="0" applyNumberFormat="1"/>
    <xf numFmtId="164" fontId="2" fillId="0" borderId="0" xfId="0" applyNumberFormat="1" applyFont="1"/>
    <xf numFmtId="164" fontId="0" fillId="0" borderId="0" xfId="1" applyNumberFormat="1" applyFont="1"/>
    <xf numFmtId="14" fontId="0" fillId="0" borderId="0" xfId="0" applyNumberFormat="1"/>
    <xf numFmtId="16" fontId="0" fillId="0" borderId="0" xfId="0" quotePrefix="1" applyNumberForma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14" fontId="8" fillId="0" borderId="0" xfId="0" applyNumberFormat="1" applyFont="1"/>
    <xf numFmtId="14" fontId="8" fillId="0" borderId="0" xfId="0" applyNumberFormat="1" applyFont="1" applyAlignment="1">
      <alignment horizontal="center"/>
    </xf>
    <xf numFmtId="1" fontId="8" fillId="0" borderId="0" xfId="2" applyNumberFormat="1" applyFont="1" applyAlignment="1">
      <alignment horizontal="center"/>
    </xf>
    <xf numFmtId="16" fontId="8" fillId="0" borderId="0" xfId="0" quotePrefix="1" applyNumberFormat="1" applyFont="1"/>
    <xf numFmtId="0" fontId="8" fillId="0" borderId="0" xfId="0" applyFont="1" applyAlignment="1">
      <alignment horizontal="center"/>
    </xf>
    <xf numFmtId="166" fontId="8" fillId="0" borderId="0" xfId="2" applyNumberFormat="1" applyFont="1"/>
    <xf numFmtId="9" fontId="8" fillId="0" borderId="0" xfId="3" applyFont="1"/>
    <xf numFmtId="165" fontId="8" fillId="0" borderId="0" xfId="2" applyNumberFormat="1" applyFont="1"/>
    <xf numFmtId="14" fontId="9" fillId="0" borderId="0" xfId="0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center" wrapText="1"/>
    </xf>
    <xf numFmtId="1" fontId="9" fillId="0" borderId="0" xfId="2" applyNumberFormat="1" applyFont="1" applyAlignment="1">
      <alignment horizontal="center" wrapText="1"/>
    </xf>
    <xf numFmtId="0" fontId="9" fillId="0" borderId="0" xfId="0" applyFont="1" applyAlignment="1">
      <alignment wrapText="1"/>
    </xf>
    <xf numFmtId="0" fontId="8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14" fontId="9" fillId="0" borderId="0" xfId="0" applyNumberFormat="1" applyFont="1" applyAlignment="1">
      <alignment wrapText="1"/>
    </xf>
    <xf numFmtId="14" fontId="8" fillId="0" borderId="0" xfId="0" applyNumberFormat="1" applyFont="1" applyFill="1" applyAlignment="1">
      <alignment horizontal="center"/>
    </xf>
    <xf numFmtId="1" fontId="10" fillId="0" borderId="0" xfId="2" applyNumberFormat="1" applyFont="1" applyAlignment="1">
      <alignment horizontal="center"/>
    </xf>
    <xf numFmtId="0" fontId="8" fillId="0" borderId="0" xfId="0" applyFont="1" applyFill="1"/>
    <xf numFmtId="165" fontId="9" fillId="0" borderId="0" xfId="0" applyNumberFormat="1" applyFont="1"/>
    <xf numFmtId="0" fontId="8" fillId="3" borderId="0" xfId="0" applyFont="1" applyFill="1" applyAlignment="1">
      <alignment horizontal="center"/>
    </xf>
    <xf numFmtId="167" fontId="8" fillId="0" borderId="0" xfId="0" applyNumberFormat="1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Robertfnicholson/Election_Analysis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FDF05-288B-F342-9E81-F249555B852C}">
  <sheetPr codeName="Sheet6"/>
  <dimension ref="A1:T71"/>
  <sheetViews>
    <sheetView tabSelected="1" workbookViewId="0">
      <pane xSplit="4" ySplit="1" topLeftCell="E14" activePane="bottomRight" state="frozen"/>
      <selection pane="topRight" activeCell="E1" sqref="E1"/>
      <selection pane="bottomLeft" activeCell="A2" sqref="A2"/>
      <selection pane="bottomRight" activeCell="E16" sqref="E16"/>
    </sheetView>
  </sheetViews>
  <sheetFormatPr defaultColWidth="10.875" defaultRowHeight="18.75" x14ac:dyDescent="0.3"/>
  <cols>
    <col min="1" max="1" width="23.875" style="13" customWidth="1"/>
    <col min="2" max="2" width="13.25" style="13" bestFit="1" customWidth="1"/>
    <col min="3" max="3" width="1.625" style="13" customWidth="1"/>
    <col min="4" max="4" width="12.875" style="18" bestFit="1" customWidth="1"/>
    <col min="5" max="5" width="11.875" style="18" bestFit="1" customWidth="1"/>
    <col min="6" max="6" width="8.875" style="16" bestFit="1" customWidth="1"/>
    <col min="7" max="7" width="44.625" style="18" bestFit="1" customWidth="1"/>
    <col min="8" max="8" width="11" style="13" customWidth="1"/>
    <col min="9" max="9" width="7.5" style="18" bestFit="1" customWidth="1"/>
    <col min="10" max="10" width="11.875" style="18" customWidth="1"/>
    <col min="11" max="11" width="12.875" style="18" bestFit="1" customWidth="1"/>
    <col min="12" max="12" width="12.875" style="18" customWidth="1"/>
    <col min="13" max="13" width="12.875" style="18" bestFit="1" customWidth="1"/>
    <col min="14" max="14" width="6" style="18" bestFit="1" customWidth="1"/>
    <col min="15" max="15" width="7.375" style="18" bestFit="1" customWidth="1"/>
    <col min="16" max="16" width="31" style="13" bestFit="1" customWidth="1"/>
    <col min="17" max="17" width="11.625" style="13" bestFit="1" customWidth="1"/>
    <col min="18" max="18" width="10.375" style="13" bestFit="1" customWidth="1"/>
    <col min="19" max="20" width="11.625" style="13" bestFit="1" customWidth="1"/>
    <col min="21" max="16384" width="10.875" style="13"/>
  </cols>
  <sheetData>
    <row r="1" spans="1:19" s="24" customFormat="1" ht="37.5" x14ac:dyDescent="0.3">
      <c r="A1" s="27" t="s">
        <v>84</v>
      </c>
      <c r="B1" s="30">
        <f ca="1">TODAY()</f>
        <v>44570</v>
      </c>
      <c r="D1" s="25" t="s">
        <v>94</v>
      </c>
      <c r="E1" s="25" t="s">
        <v>105</v>
      </c>
      <c r="F1" s="26" t="s">
        <v>120</v>
      </c>
      <c r="G1" s="25" t="s">
        <v>101</v>
      </c>
      <c r="H1" s="27" t="s">
        <v>95</v>
      </c>
      <c r="I1" s="25" t="s">
        <v>97</v>
      </c>
      <c r="J1" s="25" t="s">
        <v>98</v>
      </c>
      <c r="K1" s="25" t="s">
        <v>143</v>
      </c>
      <c r="L1" s="25" t="s">
        <v>142</v>
      </c>
      <c r="M1" s="25" t="s">
        <v>109</v>
      </c>
      <c r="N1" s="25" t="s">
        <v>100</v>
      </c>
      <c r="O1" s="25" t="s">
        <v>97</v>
      </c>
      <c r="P1" s="27" t="s">
        <v>121</v>
      </c>
      <c r="Q1" s="27" t="s">
        <v>109</v>
      </c>
      <c r="R1" s="27" t="s">
        <v>100</v>
      </c>
      <c r="S1" s="25" t="s">
        <v>144</v>
      </c>
    </row>
    <row r="2" spans="1:19" x14ac:dyDescent="0.3">
      <c r="A2" s="13" t="s">
        <v>91</v>
      </c>
      <c r="B2" s="14">
        <v>44505</v>
      </c>
      <c r="D2" s="15">
        <v>44510</v>
      </c>
      <c r="E2" s="32">
        <f ca="1">IF($B$1&gt;D2,1,"")</f>
        <v>1</v>
      </c>
      <c r="F2" s="16">
        <v>0</v>
      </c>
      <c r="G2" s="15" t="s">
        <v>102</v>
      </c>
      <c r="H2" s="17" t="s">
        <v>96</v>
      </c>
      <c r="I2" s="18">
        <v>12</v>
      </c>
    </row>
    <row r="3" spans="1:19" x14ac:dyDescent="0.3">
      <c r="A3" s="13" t="s">
        <v>85</v>
      </c>
      <c r="B3" s="14">
        <v>44685</v>
      </c>
      <c r="D3" s="15">
        <v>44515</v>
      </c>
      <c r="E3" s="32">
        <f t="shared" ref="E3:E50" ca="1" si="0">IF($B$1&gt;D3,1,"")</f>
        <v>1</v>
      </c>
      <c r="F3" s="16">
        <v>1</v>
      </c>
      <c r="G3" s="15" t="s">
        <v>103</v>
      </c>
      <c r="H3" s="18">
        <v>3.75</v>
      </c>
      <c r="I3" s="18">
        <v>3.5</v>
      </c>
      <c r="J3" s="18" t="s">
        <v>99</v>
      </c>
      <c r="K3" s="31">
        <v>44521</v>
      </c>
      <c r="L3" s="31">
        <v>44519</v>
      </c>
      <c r="M3" s="15">
        <v>44528</v>
      </c>
      <c r="N3" s="18">
        <v>5</v>
      </c>
      <c r="O3" s="18">
        <v>7</v>
      </c>
    </row>
    <row r="4" spans="1:19" x14ac:dyDescent="0.3">
      <c r="A4" s="13" t="s">
        <v>92</v>
      </c>
      <c r="B4" s="19">
        <f>B3-B2</f>
        <v>180</v>
      </c>
      <c r="D4" s="15">
        <v>44517</v>
      </c>
      <c r="E4" s="32">
        <f t="shared" ca="1" si="0"/>
        <v>1</v>
      </c>
      <c r="H4" s="18">
        <v>1.5</v>
      </c>
      <c r="I4" s="18">
        <v>1.5</v>
      </c>
    </row>
    <row r="5" spans="1:19" x14ac:dyDescent="0.3">
      <c r="A5" s="13" t="s">
        <v>86</v>
      </c>
      <c r="B5" s="13">
        <f ca="1">B3-B1</f>
        <v>115</v>
      </c>
      <c r="D5" s="15">
        <v>44522</v>
      </c>
      <c r="E5" s="32">
        <f t="shared" ca="1" si="0"/>
        <v>1</v>
      </c>
      <c r="F5" s="16">
        <v>2</v>
      </c>
      <c r="G5" s="15" t="s">
        <v>107</v>
      </c>
      <c r="H5" s="18">
        <v>5.25</v>
      </c>
      <c r="I5" s="18">
        <v>5.5</v>
      </c>
      <c r="J5" s="18" t="s">
        <v>106</v>
      </c>
      <c r="K5" s="15">
        <v>44528</v>
      </c>
      <c r="L5" s="15">
        <v>44528</v>
      </c>
      <c r="M5" s="15">
        <v>44535</v>
      </c>
      <c r="N5" s="18">
        <v>5</v>
      </c>
      <c r="O5" s="18">
        <v>10.5</v>
      </c>
    </row>
    <row r="6" spans="1:19" x14ac:dyDescent="0.3">
      <c r="A6" s="13" t="s">
        <v>93</v>
      </c>
      <c r="B6" s="20">
        <f ca="1">(B4-B5)/B4</f>
        <v>0.3611111111111111</v>
      </c>
      <c r="D6" s="15">
        <v>44524</v>
      </c>
      <c r="E6" s="32">
        <f t="shared" ca="1" si="0"/>
        <v>1</v>
      </c>
      <c r="G6" s="15" t="s">
        <v>108</v>
      </c>
      <c r="H6" s="18">
        <v>3.25</v>
      </c>
      <c r="I6" s="18">
        <v>3</v>
      </c>
    </row>
    <row r="7" spans="1:19" x14ac:dyDescent="0.3">
      <c r="A7" s="13" t="s">
        <v>87</v>
      </c>
      <c r="B7" s="21">
        <f ca="1">B5/7</f>
        <v>16.428571428571427</v>
      </c>
      <c r="D7" s="15">
        <v>44529</v>
      </c>
      <c r="E7" s="32">
        <f t="shared" ca="1" si="0"/>
        <v>1</v>
      </c>
      <c r="F7" s="16">
        <v>3</v>
      </c>
      <c r="G7" s="18" t="s">
        <v>104</v>
      </c>
      <c r="H7" s="18">
        <v>5.75</v>
      </c>
      <c r="I7" s="18">
        <v>7</v>
      </c>
      <c r="J7" s="18" t="s">
        <v>110</v>
      </c>
      <c r="K7" s="15">
        <v>44535</v>
      </c>
      <c r="L7" s="15">
        <v>44542</v>
      </c>
      <c r="M7" s="15">
        <v>44542</v>
      </c>
      <c r="N7" s="18">
        <v>5</v>
      </c>
      <c r="O7" s="18">
        <v>11</v>
      </c>
      <c r="P7" s="13" t="s">
        <v>122</v>
      </c>
      <c r="Q7" s="14">
        <v>44535</v>
      </c>
      <c r="R7" s="21">
        <v>2.5</v>
      </c>
    </row>
    <row r="8" spans="1:19" x14ac:dyDescent="0.3">
      <c r="A8" s="13" t="s">
        <v>88</v>
      </c>
      <c r="B8" s="13">
        <v>49</v>
      </c>
      <c r="D8" s="15">
        <v>44531</v>
      </c>
      <c r="E8" s="32">
        <f t="shared" ca="1" si="0"/>
        <v>1</v>
      </c>
      <c r="G8" s="35" t="s">
        <v>150</v>
      </c>
      <c r="H8" s="18">
        <v>5</v>
      </c>
      <c r="I8" s="18">
        <v>8</v>
      </c>
    </row>
    <row r="9" spans="1:19" x14ac:dyDescent="0.3">
      <c r="A9" s="13" t="s">
        <v>90</v>
      </c>
      <c r="B9" s="33">
        <f ca="1">COUNT(E2:E50)</f>
        <v>15</v>
      </c>
      <c r="D9" s="15">
        <v>44536</v>
      </c>
      <c r="E9" s="32">
        <f t="shared" ca="1" si="0"/>
        <v>1</v>
      </c>
      <c r="F9" s="16">
        <v>4</v>
      </c>
      <c r="G9" s="18" t="s">
        <v>151</v>
      </c>
      <c r="H9" s="18">
        <v>6.75</v>
      </c>
      <c r="I9" s="18">
        <v>6.5</v>
      </c>
      <c r="J9" s="18" t="s">
        <v>111</v>
      </c>
      <c r="K9" s="15">
        <v>44542</v>
      </c>
      <c r="L9" s="15">
        <v>44549</v>
      </c>
      <c r="M9" s="15">
        <v>44549</v>
      </c>
      <c r="N9" s="18">
        <v>5</v>
      </c>
      <c r="O9" s="18">
        <v>12.5</v>
      </c>
    </row>
    <row r="10" spans="1:19" x14ac:dyDescent="0.3">
      <c r="A10" s="13" t="s">
        <v>89</v>
      </c>
      <c r="B10" s="13">
        <f ca="1">B8-B9</f>
        <v>34</v>
      </c>
      <c r="D10" s="15">
        <v>44538</v>
      </c>
      <c r="E10" s="32">
        <f t="shared" ca="1" si="0"/>
        <v>1</v>
      </c>
      <c r="H10" s="18">
        <v>7</v>
      </c>
      <c r="I10" s="18">
        <v>8</v>
      </c>
    </row>
    <row r="11" spans="1:19" x14ac:dyDescent="0.3">
      <c r="A11" s="13" t="s">
        <v>93</v>
      </c>
      <c r="B11" s="20">
        <f ca="1">B9/B8</f>
        <v>0.30612244897959184</v>
      </c>
      <c r="D11" s="15">
        <v>44543</v>
      </c>
      <c r="E11" s="32">
        <f t="shared" ca="1" si="0"/>
        <v>1</v>
      </c>
      <c r="F11" s="16">
        <v>5</v>
      </c>
      <c r="G11" s="18" t="s">
        <v>155</v>
      </c>
      <c r="H11" s="18">
        <v>5</v>
      </c>
      <c r="I11" s="18">
        <v>5</v>
      </c>
      <c r="J11" s="18" t="s">
        <v>112</v>
      </c>
      <c r="K11" s="15">
        <v>44549</v>
      </c>
      <c r="L11" s="15">
        <v>44556</v>
      </c>
      <c r="M11" s="15">
        <v>44556</v>
      </c>
      <c r="N11" s="18">
        <v>5</v>
      </c>
      <c r="O11" s="18">
        <v>10</v>
      </c>
    </row>
    <row r="12" spans="1:19" x14ac:dyDescent="0.3">
      <c r="A12" s="13" t="s">
        <v>145</v>
      </c>
      <c r="B12" s="13">
        <f>COUNT(L2:L50)</f>
        <v>6</v>
      </c>
      <c r="D12" s="15">
        <v>44545</v>
      </c>
      <c r="E12" s="32">
        <f t="shared" ca="1" si="0"/>
        <v>1</v>
      </c>
      <c r="G12" s="18" t="s">
        <v>156</v>
      </c>
      <c r="H12" s="18">
        <v>5</v>
      </c>
      <c r="I12" s="18">
        <v>5</v>
      </c>
    </row>
    <row r="13" spans="1:19" x14ac:dyDescent="0.3">
      <c r="A13" s="13" t="s">
        <v>158</v>
      </c>
      <c r="B13" s="13">
        <v>17</v>
      </c>
      <c r="D13" s="15">
        <v>44550</v>
      </c>
      <c r="E13" s="32">
        <f t="shared" ca="1" si="0"/>
        <v>1</v>
      </c>
      <c r="F13" s="16">
        <v>6</v>
      </c>
      <c r="G13" s="18" t="s">
        <v>157</v>
      </c>
      <c r="H13" s="18">
        <v>5.5</v>
      </c>
      <c r="I13" s="18">
        <v>6</v>
      </c>
      <c r="J13" s="18" t="s">
        <v>113</v>
      </c>
      <c r="K13" s="15">
        <v>44198</v>
      </c>
      <c r="L13" s="15">
        <v>44565</v>
      </c>
      <c r="M13" s="15">
        <v>44205</v>
      </c>
      <c r="N13" s="18">
        <v>5</v>
      </c>
      <c r="O13" s="18">
        <v>8.5</v>
      </c>
      <c r="P13" s="13" t="s">
        <v>30</v>
      </c>
      <c r="Q13" s="14">
        <v>44205</v>
      </c>
      <c r="R13" s="21">
        <v>5</v>
      </c>
    </row>
    <row r="14" spans="1:19" x14ac:dyDescent="0.3">
      <c r="A14" s="13" t="s">
        <v>146</v>
      </c>
      <c r="B14" s="20">
        <f>B12/B13</f>
        <v>0.35294117647058826</v>
      </c>
      <c r="D14" s="15">
        <v>44552</v>
      </c>
      <c r="E14" s="32">
        <f t="shared" ca="1" si="0"/>
        <v>1</v>
      </c>
      <c r="G14" s="18" t="s">
        <v>160</v>
      </c>
      <c r="H14" s="18">
        <v>5</v>
      </c>
      <c r="I14" s="18">
        <v>6.5</v>
      </c>
    </row>
    <row r="15" spans="1:19" x14ac:dyDescent="0.3">
      <c r="A15" s="13" t="s">
        <v>159</v>
      </c>
      <c r="B15" s="21">
        <f ca="1">B9*2</f>
        <v>30</v>
      </c>
      <c r="D15" s="15">
        <v>44564</v>
      </c>
      <c r="E15" s="32">
        <f t="shared" ca="1" si="0"/>
        <v>1</v>
      </c>
      <c r="F15" s="16">
        <v>7</v>
      </c>
      <c r="G15" s="18" t="s">
        <v>161</v>
      </c>
      <c r="H15" s="18">
        <v>5</v>
      </c>
      <c r="I15" s="18">
        <v>4</v>
      </c>
      <c r="J15" s="18" t="s">
        <v>114</v>
      </c>
      <c r="K15" s="15">
        <v>44205</v>
      </c>
      <c r="L15" s="15"/>
      <c r="M15" s="15">
        <v>44212</v>
      </c>
      <c r="N15" s="18">
        <v>5</v>
      </c>
    </row>
    <row r="16" spans="1:19" x14ac:dyDescent="0.3">
      <c r="A16" s="13" t="s">
        <v>147</v>
      </c>
      <c r="B16" s="21">
        <f>SUM(I2:I50)</f>
        <v>85.5</v>
      </c>
      <c r="D16" s="15">
        <v>44566</v>
      </c>
      <c r="E16" s="32">
        <f t="shared" ca="1" si="0"/>
        <v>1</v>
      </c>
      <c r="H16" s="18">
        <v>4</v>
      </c>
      <c r="I16" s="18">
        <v>4</v>
      </c>
    </row>
    <row r="17" spans="1:20" x14ac:dyDescent="0.3">
      <c r="A17" s="13" t="s">
        <v>148</v>
      </c>
      <c r="B17" s="21">
        <f>SUM(O2:O50)</f>
        <v>59.5</v>
      </c>
      <c r="D17" s="15">
        <v>44571</v>
      </c>
      <c r="E17" s="32" t="str">
        <f t="shared" ca="1" si="0"/>
        <v/>
      </c>
      <c r="F17" s="16">
        <v>8</v>
      </c>
      <c r="H17" s="18"/>
      <c r="J17" s="18" t="s">
        <v>115</v>
      </c>
      <c r="K17" s="15">
        <v>44212</v>
      </c>
      <c r="L17" s="15"/>
      <c r="M17" s="15">
        <v>44219</v>
      </c>
    </row>
    <row r="18" spans="1:20" x14ac:dyDescent="0.3">
      <c r="A18" s="13" t="s">
        <v>152</v>
      </c>
      <c r="B18" s="21">
        <f>SUM(R3:R51)</f>
        <v>7.5</v>
      </c>
      <c r="D18" s="15">
        <v>44573</v>
      </c>
      <c r="E18" s="32" t="str">
        <f t="shared" ca="1" si="0"/>
        <v/>
      </c>
      <c r="H18" s="18"/>
      <c r="S18" s="14">
        <v>44576</v>
      </c>
      <c r="T18" s="14">
        <v>44577</v>
      </c>
    </row>
    <row r="19" spans="1:20" x14ac:dyDescent="0.3">
      <c r="A19" s="13" t="s">
        <v>149</v>
      </c>
      <c r="B19" s="34">
        <f ca="1">SUM(B15:B18)</f>
        <v>182.5</v>
      </c>
      <c r="D19" s="22">
        <v>44579</v>
      </c>
      <c r="E19" s="32" t="str">
        <f t="shared" ca="1" si="0"/>
        <v/>
      </c>
      <c r="F19" s="16">
        <v>9</v>
      </c>
      <c r="H19" s="18"/>
      <c r="J19" s="18" t="s">
        <v>116</v>
      </c>
      <c r="K19" s="15">
        <v>44219</v>
      </c>
      <c r="L19" s="15"/>
      <c r="M19" s="15">
        <v>44226</v>
      </c>
      <c r="P19" s="13" t="s">
        <v>37</v>
      </c>
      <c r="Q19" s="14">
        <v>44226</v>
      </c>
      <c r="R19" s="14"/>
    </row>
    <row r="20" spans="1:20" x14ac:dyDescent="0.3">
      <c r="A20" s="13" t="s">
        <v>154</v>
      </c>
      <c r="B20" s="21">
        <f ca="1">(B1-B2)/7</f>
        <v>9.2857142857142865</v>
      </c>
      <c r="D20" s="15">
        <v>44580</v>
      </c>
      <c r="E20" s="32" t="str">
        <f t="shared" ca="1" si="0"/>
        <v/>
      </c>
      <c r="H20" s="18"/>
    </row>
    <row r="21" spans="1:20" x14ac:dyDescent="0.3">
      <c r="A21" s="13" t="s">
        <v>153</v>
      </c>
      <c r="B21" s="36">
        <f ca="1">B19/B20</f>
        <v>19.653846153846153</v>
      </c>
      <c r="D21" s="15">
        <v>44585</v>
      </c>
      <c r="E21" s="32" t="str">
        <f t="shared" ca="1" si="0"/>
        <v/>
      </c>
      <c r="F21" s="16">
        <v>10</v>
      </c>
      <c r="H21" s="18"/>
      <c r="J21" s="18" t="s">
        <v>117</v>
      </c>
      <c r="K21" s="15">
        <v>44226</v>
      </c>
      <c r="L21" s="15"/>
      <c r="M21" s="15">
        <v>44233</v>
      </c>
    </row>
    <row r="22" spans="1:20" x14ac:dyDescent="0.3">
      <c r="D22" s="15">
        <v>44587</v>
      </c>
      <c r="E22" s="32" t="str">
        <f t="shared" ca="1" si="0"/>
        <v/>
      </c>
      <c r="H22" s="18"/>
      <c r="S22" s="14">
        <v>44590</v>
      </c>
      <c r="T22" s="14">
        <v>44591</v>
      </c>
    </row>
    <row r="23" spans="1:20" x14ac:dyDescent="0.3">
      <c r="D23" s="15">
        <v>44592</v>
      </c>
      <c r="E23" s="32" t="str">
        <f t="shared" ca="1" si="0"/>
        <v/>
      </c>
      <c r="F23" s="16">
        <v>11</v>
      </c>
      <c r="H23" s="18"/>
      <c r="J23" s="18" t="s">
        <v>118</v>
      </c>
      <c r="K23" s="15">
        <v>44233</v>
      </c>
      <c r="L23" s="15"/>
      <c r="M23" s="15">
        <v>44240</v>
      </c>
    </row>
    <row r="24" spans="1:20" x14ac:dyDescent="0.3">
      <c r="D24" s="15">
        <v>44594</v>
      </c>
      <c r="E24" s="32" t="str">
        <f t="shared" ca="1" si="0"/>
        <v/>
      </c>
      <c r="S24" s="14">
        <v>44597</v>
      </c>
      <c r="T24" s="14">
        <v>44598</v>
      </c>
    </row>
    <row r="25" spans="1:20" x14ac:dyDescent="0.3">
      <c r="D25" s="15">
        <v>44599</v>
      </c>
      <c r="E25" s="32" t="str">
        <f t="shared" ca="1" si="0"/>
        <v/>
      </c>
      <c r="F25" s="16">
        <v>12</v>
      </c>
      <c r="J25" s="18" t="s">
        <v>119</v>
      </c>
      <c r="K25" s="15">
        <v>44240</v>
      </c>
      <c r="L25" s="15"/>
      <c r="M25" s="15">
        <v>44247</v>
      </c>
    </row>
    <row r="26" spans="1:20" x14ac:dyDescent="0.3">
      <c r="D26" s="15">
        <v>44601</v>
      </c>
      <c r="E26" s="32" t="str">
        <f t="shared" ca="1" si="0"/>
        <v/>
      </c>
    </row>
    <row r="27" spans="1:20" x14ac:dyDescent="0.3">
      <c r="D27" s="15">
        <v>44606</v>
      </c>
      <c r="E27" s="32" t="str">
        <f t="shared" ca="1" si="0"/>
        <v/>
      </c>
      <c r="F27" s="16">
        <v>13</v>
      </c>
      <c r="J27" s="18" t="s">
        <v>123</v>
      </c>
      <c r="K27" s="15">
        <v>44247</v>
      </c>
      <c r="L27" s="15"/>
      <c r="M27" s="15">
        <v>44254</v>
      </c>
    </row>
    <row r="28" spans="1:20" x14ac:dyDescent="0.3">
      <c r="D28" s="15">
        <v>44608</v>
      </c>
      <c r="E28" s="32" t="str">
        <f t="shared" ca="1" si="0"/>
        <v/>
      </c>
      <c r="S28" s="14">
        <v>44611</v>
      </c>
      <c r="T28" s="14">
        <v>44612</v>
      </c>
    </row>
    <row r="29" spans="1:20" x14ac:dyDescent="0.3">
      <c r="D29" s="15">
        <v>44614</v>
      </c>
      <c r="E29" s="32" t="str">
        <f t="shared" ca="1" si="0"/>
        <v/>
      </c>
      <c r="F29" s="16">
        <v>14</v>
      </c>
      <c r="J29" s="18" t="s">
        <v>124</v>
      </c>
      <c r="K29" s="15">
        <v>44254</v>
      </c>
      <c r="L29" s="15"/>
      <c r="M29" s="15">
        <v>44261</v>
      </c>
      <c r="P29" s="13" t="s">
        <v>135</v>
      </c>
      <c r="Q29" s="14">
        <v>44261</v>
      </c>
      <c r="R29" s="14"/>
    </row>
    <row r="30" spans="1:20" x14ac:dyDescent="0.3">
      <c r="D30" s="15">
        <v>44615</v>
      </c>
      <c r="E30" s="32" t="str">
        <f t="shared" ca="1" si="0"/>
        <v/>
      </c>
    </row>
    <row r="31" spans="1:20" x14ac:dyDescent="0.3">
      <c r="D31" s="15">
        <v>44620</v>
      </c>
      <c r="E31" s="32" t="str">
        <f t="shared" ca="1" si="0"/>
        <v/>
      </c>
      <c r="F31" s="16">
        <v>15</v>
      </c>
      <c r="J31" s="18" t="s">
        <v>125</v>
      </c>
      <c r="K31" s="15">
        <v>44261</v>
      </c>
      <c r="L31" s="15"/>
      <c r="M31" s="15">
        <v>44268</v>
      </c>
    </row>
    <row r="32" spans="1:20" x14ac:dyDescent="0.3">
      <c r="D32" s="15">
        <v>44622</v>
      </c>
      <c r="E32" s="32" t="str">
        <f t="shared" ca="1" si="0"/>
        <v/>
      </c>
    </row>
    <row r="33" spans="4:20" x14ac:dyDescent="0.3">
      <c r="D33" s="15">
        <v>44627</v>
      </c>
      <c r="E33" s="32" t="str">
        <f t="shared" ca="1" si="0"/>
        <v/>
      </c>
      <c r="F33" s="16">
        <v>16</v>
      </c>
      <c r="J33" s="18" t="s">
        <v>126</v>
      </c>
      <c r="K33" s="15">
        <v>44268</v>
      </c>
      <c r="L33" s="15"/>
      <c r="M33" s="15">
        <v>44275</v>
      </c>
    </row>
    <row r="34" spans="4:20" x14ac:dyDescent="0.3">
      <c r="D34" s="15">
        <v>44629</v>
      </c>
      <c r="E34" s="32" t="str">
        <f t="shared" ca="1" si="0"/>
        <v/>
      </c>
    </row>
    <row r="35" spans="4:20" x14ac:dyDescent="0.3">
      <c r="D35" s="15">
        <v>44634</v>
      </c>
      <c r="E35" s="32" t="str">
        <f t="shared" ca="1" si="0"/>
        <v/>
      </c>
      <c r="F35" s="16">
        <v>17</v>
      </c>
      <c r="J35" s="18" t="s">
        <v>127</v>
      </c>
      <c r="K35" s="15">
        <v>44275</v>
      </c>
      <c r="L35" s="15"/>
      <c r="M35" s="15">
        <v>44282</v>
      </c>
    </row>
    <row r="36" spans="4:20" x14ac:dyDescent="0.3">
      <c r="D36" s="15">
        <v>44636</v>
      </c>
      <c r="E36" s="32" t="str">
        <f t="shared" ca="1" si="0"/>
        <v/>
      </c>
      <c r="S36" s="14">
        <v>44639</v>
      </c>
      <c r="T36" s="14">
        <v>44640</v>
      </c>
    </row>
    <row r="37" spans="4:20" x14ac:dyDescent="0.3">
      <c r="D37" s="15">
        <v>44641</v>
      </c>
      <c r="E37" s="32" t="str">
        <f t="shared" ca="1" si="0"/>
        <v/>
      </c>
      <c r="F37" s="16">
        <v>18</v>
      </c>
      <c r="J37" s="18" t="s">
        <v>128</v>
      </c>
      <c r="K37" s="15">
        <v>44282</v>
      </c>
      <c r="L37" s="15"/>
      <c r="M37" s="15">
        <v>44289</v>
      </c>
    </row>
    <row r="38" spans="4:20" x14ac:dyDescent="0.3">
      <c r="D38" s="15">
        <v>44643</v>
      </c>
      <c r="E38" s="32" t="str">
        <f t="shared" ca="1" si="0"/>
        <v/>
      </c>
    </row>
    <row r="39" spans="4:20" x14ac:dyDescent="0.3">
      <c r="D39" s="15">
        <v>44648</v>
      </c>
      <c r="E39" s="32" t="str">
        <f t="shared" ca="1" si="0"/>
        <v/>
      </c>
      <c r="F39" s="16">
        <v>19</v>
      </c>
      <c r="J39" s="18" t="s">
        <v>129</v>
      </c>
      <c r="K39" s="15">
        <v>44289</v>
      </c>
      <c r="L39" s="15"/>
      <c r="M39" s="15">
        <v>44296</v>
      </c>
    </row>
    <row r="40" spans="4:20" x14ac:dyDescent="0.3">
      <c r="D40" s="15">
        <v>44650</v>
      </c>
      <c r="E40" s="32" t="str">
        <f t="shared" ca="1" si="0"/>
        <v/>
      </c>
      <c r="S40" s="14">
        <v>44653</v>
      </c>
      <c r="T40" s="14">
        <v>44654</v>
      </c>
    </row>
    <row r="41" spans="4:20" x14ac:dyDescent="0.3">
      <c r="D41" s="15">
        <v>44655</v>
      </c>
      <c r="E41" s="32" t="str">
        <f t="shared" ca="1" si="0"/>
        <v/>
      </c>
      <c r="F41" s="16" t="s">
        <v>138</v>
      </c>
      <c r="J41" s="18" t="s">
        <v>130</v>
      </c>
      <c r="K41" s="23">
        <v>44296</v>
      </c>
      <c r="L41" s="31"/>
      <c r="M41" s="23">
        <v>44296</v>
      </c>
      <c r="P41" s="13" t="s">
        <v>141</v>
      </c>
    </row>
    <row r="42" spans="4:20" x14ac:dyDescent="0.3">
      <c r="D42" s="15">
        <v>44657</v>
      </c>
      <c r="E42" s="32" t="str">
        <f t="shared" ca="1" si="0"/>
        <v/>
      </c>
      <c r="S42" s="14">
        <v>44660</v>
      </c>
      <c r="T42" s="14">
        <v>44661</v>
      </c>
    </row>
    <row r="43" spans="4:20" x14ac:dyDescent="0.3">
      <c r="D43" s="15">
        <v>44662</v>
      </c>
      <c r="E43" s="32" t="str">
        <f t="shared" ca="1" si="0"/>
        <v/>
      </c>
      <c r="J43" s="18" t="s">
        <v>131</v>
      </c>
    </row>
    <row r="44" spans="4:20" x14ac:dyDescent="0.3">
      <c r="D44" s="15">
        <v>44664</v>
      </c>
      <c r="E44" s="32" t="str">
        <f t="shared" ca="1" si="0"/>
        <v/>
      </c>
    </row>
    <row r="45" spans="4:20" x14ac:dyDescent="0.3">
      <c r="D45" s="15">
        <v>44669</v>
      </c>
      <c r="E45" s="32" t="str">
        <f t="shared" ca="1" si="0"/>
        <v/>
      </c>
      <c r="F45" s="16" t="s">
        <v>137</v>
      </c>
      <c r="J45" s="18" t="s">
        <v>132</v>
      </c>
      <c r="M45" s="23">
        <v>44310</v>
      </c>
    </row>
    <row r="46" spans="4:20" x14ac:dyDescent="0.3">
      <c r="D46" s="15">
        <v>44671</v>
      </c>
      <c r="E46" s="32" t="str">
        <f t="shared" ca="1" si="0"/>
        <v/>
      </c>
      <c r="M46" s="28"/>
    </row>
    <row r="47" spans="4:20" x14ac:dyDescent="0.3">
      <c r="D47" s="15">
        <v>44676</v>
      </c>
      <c r="E47" s="32" t="str">
        <f t="shared" ca="1" si="0"/>
        <v/>
      </c>
      <c r="F47" s="16" t="s">
        <v>136</v>
      </c>
      <c r="J47" s="18" t="s">
        <v>133</v>
      </c>
      <c r="M47" s="23">
        <v>44317</v>
      </c>
    </row>
    <row r="48" spans="4:20" x14ac:dyDescent="0.3">
      <c r="D48" s="15">
        <v>44678</v>
      </c>
      <c r="E48" s="32" t="str">
        <f t="shared" ca="1" si="0"/>
        <v/>
      </c>
      <c r="M48" s="28"/>
    </row>
    <row r="49" spans="4:20" x14ac:dyDescent="0.3">
      <c r="D49" s="15">
        <v>44683</v>
      </c>
      <c r="E49" s="32" t="str">
        <f t="shared" ca="1" si="0"/>
        <v/>
      </c>
      <c r="F49" s="16" t="s">
        <v>139</v>
      </c>
      <c r="J49" s="18" t="s">
        <v>134</v>
      </c>
      <c r="M49" s="23">
        <v>44320</v>
      </c>
    </row>
    <row r="50" spans="4:20" x14ac:dyDescent="0.3">
      <c r="D50" s="15">
        <v>44685</v>
      </c>
      <c r="E50" s="32" t="str">
        <f t="shared" ca="1" si="0"/>
        <v/>
      </c>
      <c r="S50" s="14">
        <v>44688</v>
      </c>
      <c r="T50" s="14">
        <v>44689</v>
      </c>
    </row>
    <row r="51" spans="4:20" x14ac:dyDescent="0.3">
      <c r="E51" s="16"/>
    </row>
    <row r="52" spans="4:20" x14ac:dyDescent="0.3">
      <c r="D52" s="29" t="s">
        <v>140</v>
      </c>
      <c r="E52" s="16"/>
    </row>
    <row r="53" spans="4:20" x14ac:dyDescent="0.3">
      <c r="E53" s="16"/>
    </row>
    <row r="54" spans="4:20" x14ac:dyDescent="0.3">
      <c r="E54" s="16"/>
    </row>
    <row r="55" spans="4:20" x14ac:dyDescent="0.3">
      <c r="E55" s="16"/>
    </row>
    <row r="56" spans="4:20" x14ac:dyDescent="0.3">
      <c r="E56" s="16"/>
    </row>
    <row r="57" spans="4:20" x14ac:dyDescent="0.3">
      <c r="E57" s="16"/>
    </row>
    <row r="58" spans="4:20" x14ac:dyDescent="0.3">
      <c r="E58" s="16"/>
    </row>
    <row r="59" spans="4:20" x14ac:dyDescent="0.3">
      <c r="E59" s="16"/>
    </row>
    <row r="60" spans="4:20" x14ac:dyDescent="0.3">
      <c r="E60" s="16"/>
    </row>
    <row r="61" spans="4:20" x14ac:dyDescent="0.3">
      <c r="E61" s="16"/>
    </row>
    <row r="62" spans="4:20" x14ac:dyDescent="0.3">
      <c r="E62" s="16"/>
    </row>
    <row r="63" spans="4:20" x14ac:dyDescent="0.3">
      <c r="E63" s="16"/>
    </row>
    <row r="64" spans="4:20" x14ac:dyDescent="0.3">
      <c r="E64" s="16"/>
    </row>
    <row r="65" spans="5:5" x14ac:dyDescent="0.3">
      <c r="E65" s="16"/>
    </row>
    <row r="66" spans="5:5" x14ac:dyDescent="0.3">
      <c r="E66" s="16"/>
    </row>
    <row r="67" spans="5:5" x14ac:dyDescent="0.3">
      <c r="E67" s="16"/>
    </row>
    <row r="68" spans="5:5" x14ac:dyDescent="0.3">
      <c r="E68" s="16"/>
    </row>
    <row r="69" spans="5:5" x14ac:dyDescent="0.3">
      <c r="E69" s="16"/>
    </row>
    <row r="70" spans="5:5" x14ac:dyDescent="0.3">
      <c r="E70" s="16"/>
    </row>
    <row r="71" spans="5:5" x14ac:dyDescent="0.3">
      <c r="E71" s="16"/>
    </row>
  </sheetData>
  <phoneticPr fontId="11" type="noConversion"/>
  <conditionalFormatting sqref="L3">
    <cfRule type="cellIs" dxfId="0" priority="1" operator="greaterThan">
      <formula>$L$3&gt;$K$3</formula>
    </cfRule>
  </conditionalFormatting>
  <hyperlinks>
    <hyperlink ref="G11" r:id="rId1" display="https://github.com/Robertfnicholson/Election_Analysis" xr:uid="{A739237B-3E4C-4C12-9E04-63C4E20FADA6}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49B4-39E2-9A45-B121-5B8FECB556E1}">
  <sheetPr codeName="Sheet3"/>
  <dimension ref="A1:E26"/>
  <sheetViews>
    <sheetView zoomScale="130" zoomScaleNormal="130" workbookViewId="0">
      <selection activeCell="C11" sqref="C11"/>
    </sheetView>
  </sheetViews>
  <sheetFormatPr defaultColWidth="11" defaultRowHeight="15.75" x14ac:dyDescent="0.25"/>
  <cols>
    <col min="1" max="1" width="24.875" bestFit="1" customWidth="1"/>
    <col min="2" max="2" width="32.375" bestFit="1" customWidth="1"/>
    <col min="3" max="3" width="14" bestFit="1" customWidth="1"/>
    <col min="5" max="5" width="24.625" bestFit="1" customWidth="1"/>
  </cols>
  <sheetData>
    <row r="1" spans="1:5" x14ac:dyDescent="0.25">
      <c r="B1" s="1" t="s">
        <v>28</v>
      </c>
    </row>
    <row r="2" spans="1:5" x14ac:dyDescent="0.25">
      <c r="A2" s="1" t="s">
        <v>47</v>
      </c>
      <c r="B2" s="1" t="s">
        <v>45</v>
      </c>
      <c r="C2" s="1" t="s">
        <v>46</v>
      </c>
      <c r="D2" s="1" t="s">
        <v>53</v>
      </c>
      <c r="E2" s="1" t="s">
        <v>71</v>
      </c>
    </row>
    <row r="3" spans="1:5" x14ac:dyDescent="0.25">
      <c r="A3" t="s">
        <v>48</v>
      </c>
      <c r="B3" t="s">
        <v>48</v>
      </c>
      <c r="C3" t="s">
        <v>49</v>
      </c>
      <c r="D3" t="s">
        <v>54</v>
      </c>
    </row>
    <row r="4" spans="1:5" x14ac:dyDescent="0.25">
      <c r="A4" t="s">
        <v>48</v>
      </c>
      <c r="B4" t="s">
        <v>48</v>
      </c>
      <c r="C4" t="s">
        <v>29</v>
      </c>
      <c r="D4" t="s">
        <v>54</v>
      </c>
      <c r="E4" t="s">
        <v>72</v>
      </c>
    </row>
    <row r="5" spans="1:5" x14ac:dyDescent="0.25">
      <c r="A5" t="s">
        <v>61</v>
      </c>
      <c r="D5" t="s">
        <v>54</v>
      </c>
      <c r="E5" s="11"/>
    </row>
    <row r="6" spans="1:5" x14ac:dyDescent="0.25">
      <c r="A6" t="s">
        <v>62</v>
      </c>
      <c r="D6" t="s">
        <v>54</v>
      </c>
    </row>
    <row r="7" spans="1:5" x14ac:dyDescent="0.25">
      <c r="B7" t="s">
        <v>30</v>
      </c>
      <c r="C7" t="s">
        <v>31</v>
      </c>
    </row>
    <row r="8" spans="1:5" x14ac:dyDescent="0.25">
      <c r="B8" t="s">
        <v>30</v>
      </c>
      <c r="C8" t="s">
        <v>32</v>
      </c>
    </row>
    <row r="9" spans="1:5" x14ac:dyDescent="0.25">
      <c r="B9" t="s">
        <v>30</v>
      </c>
      <c r="C9" t="s">
        <v>33</v>
      </c>
    </row>
    <row r="10" spans="1:5" x14ac:dyDescent="0.25">
      <c r="B10" t="s">
        <v>30</v>
      </c>
      <c r="C10" t="s">
        <v>34</v>
      </c>
    </row>
    <row r="11" spans="1:5" x14ac:dyDescent="0.25">
      <c r="B11" t="s">
        <v>30</v>
      </c>
      <c r="C11" t="s">
        <v>35</v>
      </c>
    </row>
    <row r="12" spans="1:5" x14ac:dyDescent="0.25">
      <c r="B12" t="s">
        <v>30</v>
      </c>
      <c r="C12" t="s">
        <v>36</v>
      </c>
    </row>
    <row r="13" spans="1:5" x14ac:dyDescent="0.25">
      <c r="A13" t="s">
        <v>37</v>
      </c>
      <c r="B13" t="s">
        <v>38</v>
      </c>
    </row>
    <row r="14" spans="1:5" x14ac:dyDescent="0.25">
      <c r="A14" t="s">
        <v>37</v>
      </c>
      <c r="B14" t="s">
        <v>39</v>
      </c>
    </row>
    <row r="15" spans="1:5" x14ac:dyDescent="0.25">
      <c r="A15" t="s">
        <v>37</v>
      </c>
      <c r="B15" t="s">
        <v>40</v>
      </c>
    </row>
    <row r="16" spans="1:5" x14ac:dyDescent="0.25">
      <c r="A16" t="s">
        <v>41</v>
      </c>
      <c r="B16" t="s">
        <v>42</v>
      </c>
      <c r="D16" t="s">
        <v>54</v>
      </c>
    </row>
    <row r="17" spans="1:4" x14ac:dyDescent="0.25">
      <c r="A17" t="s">
        <v>41</v>
      </c>
      <c r="B17" t="s">
        <v>43</v>
      </c>
    </row>
    <row r="18" spans="1:4" x14ac:dyDescent="0.25">
      <c r="A18" t="s">
        <v>41</v>
      </c>
      <c r="B18" t="s">
        <v>44</v>
      </c>
      <c r="D18" t="s">
        <v>54</v>
      </c>
    </row>
    <row r="19" spans="1:4" x14ac:dyDescent="0.25">
      <c r="A19" t="s">
        <v>41</v>
      </c>
      <c r="B19" t="s">
        <v>50</v>
      </c>
      <c r="D19" t="s">
        <v>54</v>
      </c>
    </row>
    <row r="20" spans="1:4" x14ac:dyDescent="0.25">
      <c r="A20" t="s">
        <v>41</v>
      </c>
      <c r="B20" t="s">
        <v>51</v>
      </c>
    </row>
    <row r="21" spans="1:4" x14ac:dyDescent="0.25">
      <c r="A21" t="s">
        <v>41</v>
      </c>
      <c r="B21" t="s">
        <v>52</v>
      </c>
      <c r="D21" t="s">
        <v>54</v>
      </c>
    </row>
    <row r="22" spans="1:4" x14ac:dyDescent="0.25">
      <c r="A22" t="s">
        <v>55</v>
      </c>
      <c r="B22" t="s">
        <v>56</v>
      </c>
      <c r="D22" t="s">
        <v>54</v>
      </c>
    </row>
    <row r="23" spans="1:4" x14ac:dyDescent="0.25">
      <c r="B23" t="s">
        <v>57</v>
      </c>
    </row>
    <row r="24" spans="1:4" x14ac:dyDescent="0.25">
      <c r="B24" t="s">
        <v>58</v>
      </c>
    </row>
    <row r="25" spans="1:4" x14ac:dyDescent="0.25">
      <c r="B25" t="s">
        <v>59</v>
      </c>
    </row>
    <row r="26" spans="1:4" x14ac:dyDescent="0.25">
      <c r="B26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FAA1-A5DE-084B-A16B-A590876E19AC}">
  <sheetPr codeName="Sheet4"/>
  <dimension ref="A1:C22"/>
  <sheetViews>
    <sheetView workbookViewId="0">
      <selection sqref="A1:C1"/>
    </sheetView>
  </sheetViews>
  <sheetFormatPr defaultColWidth="11" defaultRowHeight="15.75" x14ac:dyDescent="0.25"/>
  <cols>
    <col min="1" max="1" width="36.125" bestFit="1" customWidth="1"/>
    <col min="2" max="2" width="46.125" bestFit="1" customWidth="1"/>
    <col min="3" max="3" width="141.375" style="8" customWidth="1"/>
  </cols>
  <sheetData>
    <row r="1" spans="1:3" ht="20.25" x14ac:dyDescent="0.3">
      <c r="A1" s="10" t="s">
        <v>47</v>
      </c>
      <c r="B1" s="10" t="s">
        <v>28</v>
      </c>
      <c r="C1" s="10" t="s">
        <v>70</v>
      </c>
    </row>
    <row r="2" spans="1:3" ht="60.75" x14ac:dyDescent="0.3">
      <c r="A2" s="9" t="s">
        <v>30</v>
      </c>
      <c r="B2" s="9" t="s">
        <v>30</v>
      </c>
      <c r="C2" s="7" t="s">
        <v>63</v>
      </c>
    </row>
    <row r="3" spans="1:3" ht="20.25" x14ac:dyDescent="0.3">
      <c r="A3" s="9" t="s">
        <v>30</v>
      </c>
      <c r="B3" s="9" t="s">
        <v>31</v>
      </c>
      <c r="C3" s="7" t="s">
        <v>64</v>
      </c>
    </row>
    <row r="4" spans="1:3" ht="81" x14ac:dyDescent="0.3">
      <c r="A4" s="9" t="s">
        <v>30</v>
      </c>
      <c r="B4" s="9" t="s">
        <v>32</v>
      </c>
      <c r="C4" s="7" t="s">
        <v>65</v>
      </c>
    </row>
    <row r="5" spans="1:3" ht="40.5" x14ac:dyDescent="0.3">
      <c r="A5" s="9" t="s">
        <v>30</v>
      </c>
      <c r="B5" s="9" t="s">
        <v>33</v>
      </c>
      <c r="C5" s="7" t="s">
        <v>66</v>
      </c>
    </row>
    <row r="6" spans="1:3" ht="20.25" x14ac:dyDescent="0.3">
      <c r="A6" s="9" t="s">
        <v>30</v>
      </c>
      <c r="B6" s="9" t="s">
        <v>34</v>
      </c>
      <c r="C6" s="7" t="s">
        <v>67</v>
      </c>
    </row>
    <row r="7" spans="1:3" ht="60.75" x14ac:dyDescent="0.3">
      <c r="A7" s="9" t="s">
        <v>30</v>
      </c>
      <c r="B7" s="9" t="s">
        <v>35</v>
      </c>
      <c r="C7" s="7" t="s">
        <v>68</v>
      </c>
    </row>
    <row r="8" spans="1:3" ht="40.5" x14ac:dyDescent="0.3">
      <c r="A8" s="9" t="s">
        <v>30</v>
      </c>
      <c r="B8" s="9" t="s">
        <v>36</v>
      </c>
      <c r="C8" s="7" t="s">
        <v>69</v>
      </c>
    </row>
    <row r="9" spans="1:3" ht="20.25" x14ac:dyDescent="0.3">
      <c r="A9" s="9" t="s">
        <v>37</v>
      </c>
      <c r="B9" s="9" t="s">
        <v>38</v>
      </c>
      <c r="C9" s="7"/>
    </row>
    <row r="10" spans="1:3" ht="20.25" x14ac:dyDescent="0.3">
      <c r="A10" s="9" t="s">
        <v>37</v>
      </c>
      <c r="B10" s="9" t="s">
        <v>39</v>
      </c>
      <c r="C10" s="7"/>
    </row>
    <row r="11" spans="1:3" ht="20.25" x14ac:dyDescent="0.3">
      <c r="A11" s="9" t="s">
        <v>37</v>
      </c>
      <c r="B11" s="9" t="s">
        <v>40</v>
      </c>
      <c r="C11" s="7"/>
    </row>
    <row r="12" spans="1:3" ht="20.25" x14ac:dyDescent="0.3">
      <c r="A12" s="9" t="s">
        <v>41</v>
      </c>
      <c r="B12" s="9" t="s">
        <v>42</v>
      </c>
      <c r="C12" s="7"/>
    </row>
    <row r="13" spans="1:3" ht="20.25" x14ac:dyDescent="0.3">
      <c r="A13" s="9" t="s">
        <v>41</v>
      </c>
      <c r="B13" s="9" t="s">
        <v>43</v>
      </c>
      <c r="C13" s="7"/>
    </row>
    <row r="14" spans="1:3" ht="20.25" x14ac:dyDescent="0.3">
      <c r="A14" s="9" t="s">
        <v>41</v>
      </c>
      <c r="B14" s="9" t="s">
        <v>44</v>
      </c>
      <c r="C14" s="7"/>
    </row>
    <row r="15" spans="1:3" ht="20.25" x14ac:dyDescent="0.3">
      <c r="A15" s="9" t="s">
        <v>41</v>
      </c>
      <c r="B15" s="9" t="s">
        <v>50</v>
      </c>
      <c r="C15" s="7"/>
    </row>
    <row r="16" spans="1:3" ht="20.25" x14ac:dyDescent="0.3">
      <c r="A16" s="9" t="s">
        <v>41</v>
      </c>
      <c r="B16" s="9" t="s">
        <v>51</v>
      </c>
      <c r="C16" s="7"/>
    </row>
    <row r="17" spans="1:3" ht="20.25" x14ac:dyDescent="0.3">
      <c r="A17" s="9" t="s">
        <v>41</v>
      </c>
      <c r="B17" s="9" t="s">
        <v>52</v>
      </c>
      <c r="C17" s="7"/>
    </row>
    <row r="18" spans="1:3" ht="20.25" x14ac:dyDescent="0.3">
      <c r="A18" s="9" t="s">
        <v>55</v>
      </c>
      <c r="B18" s="9" t="s">
        <v>56</v>
      </c>
      <c r="C18" s="7"/>
    </row>
    <row r="19" spans="1:3" ht="20.25" x14ac:dyDescent="0.3">
      <c r="B19" s="9" t="s">
        <v>57</v>
      </c>
      <c r="C19" s="7"/>
    </row>
    <row r="20" spans="1:3" ht="20.25" x14ac:dyDescent="0.3">
      <c r="B20" s="9" t="s">
        <v>58</v>
      </c>
      <c r="C20" s="7"/>
    </row>
    <row r="21" spans="1:3" ht="20.25" x14ac:dyDescent="0.3">
      <c r="B21" s="9" t="s">
        <v>59</v>
      </c>
      <c r="C21" s="7"/>
    </row>
    <row r="22" spans="1:3" ht="20.25" x14ac:dyDescent="0.3">
      <c r="B22" s="9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DC327-CA3B-3E4F-BFD0-33A08DACE0CA}">
  <sheetPr codeName="Sheet5"/>
  <dimension ref="A1:E11"/>
  <sheetViews>
    <sheetView workbookViewId="0">
      <selection activeCell="A13" sqref="A13"/>
    </sheetView>
  </sheetViews>
  <sheetFormatPr defaultColWidth="10.875" defaultRowHeight="21" x14ac:dyDescent="0.35"/>
  <cols>
    <col min="1" max="1" width="10.875" style="12"/>
    <col min="2" max="2" width="68" style="12" bestFit="1" customWidth="1"/>
    <col min="3" max="16384" width="10.875" style="12"/>
  </cols>
  <sheetData>
    <row r="1" spans="1:5" x14ac:dyDescent="0.35">
      <c r="A1" s="12" t="s">
        <v>73</v>
      </c>
      <c r="E1" s="12" t="s">
        <v>75</v>
      </c>
    </row>
    <row r="2" spans="1:5" x14ac:dyDescent="0.35">
      <c r="A2" s="12">
        <v>1</v>
      </c>
      <c r="B2" s="12" t="s">
        <v>74</v>
      </c>
    </row>
    <row r="3" spans="1:5" x14ac:dyDescent="0.35">
      <c r="A3" s="12">
        <v>2</v>
      </c>
      <c r="B3" s="12" t="s">
        <v>76</v>
      </c>
    </row>
    <row r="4" spans="1:5" x14ac:dyDescent="0.35">
      <c r="A4" s="12">
        <v>3</v>
      </c>
      <c r="B4" s="12" t="s">
        <v>77</v>
      </c>
    </row>
    <row r="5" spans="1:5" x14ac:dyDescent="0.35">
      <c r="A5" s="12">
        <v>4</v>
      </c>
      <c r="B5" s="12" t="s">
        <v>78</v>
      </c>
    </row>
    <row r="6" spans="1:5" x14ac:dyDescent="0.35">
      <c r="A6" s="12">
        <v>5</v>
      </c>
      <c r="B6" s="12" t="s">
        <v>79</v>
      </c>
    </row>
    <row r="9" spans="1:5" x14ac:dyDescent="0.35">
      <c r="A9" s="12" t="s">
        <v>80</v>
      </c>
      <c r="B9" s="12" t="s">
        <v>81</v>
      </c>
    </row>
    <row r="10" spans="1:5" x14ac:dyDescent="0.35">
      <c r="A10" s="12">
        <v>1</v>
      </c>
      <c r="B10" s="12" t="s">
        <v>82</v>
      </c>
    </row>
    <row r="11" spans="1:5" x14ac:dyDescent="0.35">
      <c r="A11" s="12">
        <v>2</v>
      </c>
      <c r="B11" s="12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1A721-953C-4941-B738-AD452454668E}">
  <sheetPr codeName="Sheet1"/>
  <dimension ref="A1:H7"/>
  <sheetViews>
    <sheetView zoomScale="120" zoomScaleNormal="120" workbookViewId="0">
      <selection activeCell="F8" sqref="F8"/>
    </sheetView>
  </sheetViews>
  <sheetFormatPr defaultColWidth="11" defaultRowHeight="15.75" x14ac:dyDescent="0.25"/>
  <cols>
    <col min="1" max="1" width="19" bestFit="1" customWidth="1"/>
    <col min="2" max="2" width="33.875" customWidth="1"/>
    <col min="3" max="3" width="22.625" bestFit="1" customWidth="1"/>
    <col min="5" max="5" width="11.5" style="2" bestFit="1" customWidth="1"/>
    <col min="6" max="6" width="35.625" bestFit="1" customWidth="1"/>
    <col min="7" max="7" width="7.375" bestFit="1" customWidth="1"/>
  </cols>
  <sheetData>
    <row r="1" spans="1:8" x14ac:dyDescent="0.25">
      <c r="A1" s="1" t="s">
        <v>0</v>
      </c>
      <c r="B1" s="1"/>
      <c r="C1" s="1"/>
    </row>
    <row r="2" spans="1:8" x14ac:dyDescent="0.25">
      <c r="A2" s="1" t="s">
        <v>3</v>
      </c>
      <c r="B2" s="1" t="s">
        <v>2</v>
      </c>
      <c r="C2" s="1" t="s">
        <v>5</v>
      </c>
      <c r="D2" s="1" t="s">
        <v>6</v>
      </c>
      <c r="E2" s="3" t="s">
        <v>7</v>
      </c>
      <c r="F2" s="1" t="s">
        <v>12</v>
      </c>
      <c r="G2" s="1" t="s">
        <v>26</v>
      </c>
      <c r="H2" s="1" t="s">
        <v>19</v>
      </c>
    </row>
    <row r="3" spans="1:8" x14ac:dyDescent="0.25">
      <c r="A3" t="s">
        <v>1</v>
      </c>
      <c r="B3" t="s">
        <v>4</v>
      </c>
      <c r="C3" t="s">
        <v>8</v>
      </c>
      <c r="D3">
        <v>24</v>
      </c>
      <c r="E3" s="4">
        <v>12200</v>
      </c>
      <c r="F3" t="s">
        <v>13</v>
      </c>
      <c r="G3" t="s">
        <v>24</v>
      </c>
      <c r="H3" s="5">
        <v>44510</v>
      </c>
    </row>
    <row r="4" spans="1:8" x14ac:dyDescent="0.25">
      <c r="A4" t="s">
        <v>9</v>
      </c>
      <c r="B4" t="s">
        <v>10</v>
      </c>
      <c r="C4" t="s">
        <v>11</v>
      </c>
      <c r="D4">
        <v>6</v>
      </c>
      <c r="E4" s="2">
        <v>2800</v>
      </c>
      <c r="F4" t="s">
        <v>14</v>
      </c>
    </row>
    <row r="5" spans="1:8" x14ac:dyDescent="0.25">
      <c r="A5" t="s">
        <v>15</v>
      </c>
      <c r="B5" t="s">
        <v>16</v>
      </c>
      <c r="C5" t="s">
        <v>17</v>
      </c>
      <c r="D5">
        <v>6</v>
      </c>
      <c r="F5" t="s">
        <v>14</v>
      </c>
    </row>
    <row r="6" spans="1:8" x14ac:dyDescent="0.25">
      <c r="A6" t="s">
        <v>18</v>
      </c>
      <c r="C6" t="s">
        <v>8</v>
      </c>
      <c r="D6">
        <v>24</v>
      </c>
      <c r="E6" s="2" t="s">
        <v>20</v>
      </c>
      <c r="F6" t="s">
        <v>21</v>
      </c>
      <c r="G6" t="s">
        <v>24</v>
      </c>
      <c r="H6" s="5">
        <v>44616</v>
      </c>
    </row>
    <row r="7" spans="1:8" x14ac:dyDescent="0.25">
      <c r="A7" t="s">
        <v>22</v>
      </c>
      <c r="C7" t="s">
        <v>23</v>
      </c>
      <c r="D7">
        <v>9</v>
      </c>
      <c r="E7" s="2">
        <v>3600</v>
      </c>
      <c r="F7" t="s">
        <v>27</v>
      </c>
      <c r="G7" s="6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Schedule</vt:lpstr>
      <vt:lpstr>Software</vt:lpstr>
      <vt:lpstr>Software Detail</vt:lpstr>
      <vt:lpstr>VBA Scripting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Nicholson, Robert F</cp:lastModifiedBy>
  <dcterms:created xsi:type="dcterms:W3CDTF">2021-10-30T13:38:19Z</dcterms:created>
  <dcterms:modified xsi:type="dcterms:W3CDTF">2022-01-09T18:52:14Z</dcterms:modified>
</cp:coreProperties>
</file>